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t\Desktop\"/>
    </mc:Choice>
  </mc:AlternateContent>
  <xr:revisionPtr revIDLastSave="0" documentId="8_{D61B2853-A42C-46C8-9C2E-C67DCA751C50}" xr6:coauthVersionLast="41" xr6:coauthVersionMax="41" xr10:uidLastSave="{00000000-0000-0000-0000-000000000000}"/>
  <bookViews>
    <workbookView xWindow="-120" yWindow="-120" windowWidth="20730" windowHeight="11160" xr2:uid="{83C8F7A5-947B-432F-83A0-464DA2944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0" i="1" l="1"/>
  <c r="K19" i="1"/>
  <c r="J19" i="1"/>
  <c r="I19" i="1"/>
  <c r="H19" i="1"/>
  <c r="F19" i="1"/>
  <c r="G10" i="1"/>
  <c r="G11" i="1"/>
  <c r="G12" i="1"/>
  <c r="G13" i="1"/>
  <c r="G14" i="1"/>
  <c r="G15" i="1"/>
  <c r="G16" i="1"/>
  <c r="G17" i="1"/>
  <c r="G18" i="1"/>
  <c r="G9" i="1"/>
  <c r="G8" i="1"/>
  <c r="G19" i="1" s="1"/>
</calcChain>
</file>

<file path=xl/sharedStrings.xml><?xml version="1.0" encoding="utf-8"?>
<sst xmlns="http://schemas.openxmlformats.org/spreadsheetml/2006/main" count="13" uniqueCount="13">
  <si>
    <t>No</t>
  </si>
  <si>
    <t>TC_Document</t>
  </si>
  <si>
    <t>Number of Cases</t>
  </si>
  <si>
    <t>Pass</t>
  </si>
  <si>
    <t>Critical Fail</t>
  </si>
  <si>
    <t>Major Fail</t>
  </si>
  <si>
    <t>Minor Fail</t>
  </si>
  <si>
    <t>Invalid</t>
  </si>
  <si>
    <t>World_Creation_TC.docx</t>
  </si>
  <si>
    <t>Car_Creation_TC.docx</t>
  </si>
  <si>
    <t>Car_Movements_TC.docx</t>
  </si>
  <si>
    <t>Total</t>
  </si>
  <si>
    <t>Quality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</si>
</sst>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73240F-9D4D-4423-8E54-8D842C7D4A36}" name="Table1" displayName="Table1" ref="D7:K20" totalsRowShown="0">
  <autoFilter ref="D7:K20" xr:uid="{C952BD26-21D2-475E-990B-20C159212AD2}"/>
  <tableColumns count="8">
    <tableColumn id="1" xr3:uid="{E19BF468-3E71-45E0-8B65-C05FB1F98D1D}" name="No"/>
    <tableColumn id="2" xr3:uid="{2B68DBDB-4939-46F1-BA1E-B7B83D449921}" name="TC_Document"/>
    <tableColumn id="3" xr3:uid="{97A5D906-78EE-469F-8315-A07B9913A2E3}" name="Number of Cases"/>
    <tableColumn id="4" xr3:uid="{0A2A79C3-C1BA-4339-B76C-09BFA6C1BE9C}" name="Pass">
      <calculatedColumnFormula>SUM(Table1[[#This Row],[Number of Cases]]-Table1[[#This Row],[Critical Fail]]-Table1[[#This Row],[Major Fail]]-Table1[[#This Row],[Minor Fail]]-Table1[[#This Row],[Invalid]])</calculatedColumnFormula>
    </tableColumn>
    <tableColumn id="5" xr3:uid="{C773E54A-65F9-4B1F-BB2A-A9BF091FD336}" name="Critical Fail"/>
    <tableColumn id="6" xr3:uid="{58F33C0A-750B-4860-8E62-4E871B36BB0C}" name="Major Fail"/>
    <tableColumn id="7" xr3:uid="{8C0E8329-6B4F-4416-919C-6B7B0D7F8D59}" name="Minor Fail"/>
    <tableColumn id="8" xr3:uid="{9CC22F04-D0B1-477D-AF38-B2319F50C5CA}" name="Inval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AB2C-8255-4574-8A7D-64C31CD2BC79}">
  <dimension ref="D7:K20"/>
  <sheetViews>
    <sheetView tabSelected="1" topLeftCell="A4" workbookViewId="0">
      <selection activeCell="F21" sqref="F21"/>
    </sheetView>
  </sheetViews>
  <sheetFormatPr defaultRowHeight="15" x14ac:dyDescent="0.25"/>
  <cols>
    <col min="4" max="4" width="11" customWidth="1"/>
    <col min="5" max="5" width="23.28515625" bestFit="1" customWidth="1"/>
    <col min="6" max="6" width="55" customWidth="1"/>
    <col min="7" max="7" width="11" customWidth="1"/>
    <col min="8" max="8" width="13" bestFit="1" customWidth="1"/>
    <col min="9" max="9" width="12.140625" bestFit="1" customWidth="1"/>
    <col min="10" max="10" width="12.28515625" bestFit="1" customWidth="1"/>
    <col min="11" max="11" width="9.28515625" bestFit="1" customWidth="1"/>
  </cols>
  <sheetData>
    <row r="7" spans="4:11" x14ac:dyDescent="0.25"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6</v>
      </c>
      <c r="K7" t="s">
        <v>7</v>
      </c>
    </row>
    <row r="8" spans="4:11" x14ac:dyDescent="0.25">
      <c r="D8">
        <v>1</v>
      </c>
      <c r="E8" t="s">
        <v>8</v>
      </c>
      <c r="F8">
        <v>22</v>
      </c>
      <c r="G8">
        <f>SUM(Table1[[#This Row],[Number of Cases]]-Table1[[#This Row],[Critical Fail]]-Table1[[#This Row],[Major Fail]]-Table1[[#This Row],[Minor Fail]]-Table1[[#This Row],[Invalid]])</f>
        <v>15</v>
      </c>
      <c r="H8">
        <v>1</v>
      </c>
      <c r="I8">
        <v>3</v>
      </c>
      <c r="J8">
        <v>2</v>
      </c>
      <c r="K8">
        <v>1</v>
      </c>
    </row>
    <row r="9" spans="4:11" x14ac:dyDescent="0.25">
      <c r="D9">
        <v>2</v>
      </c>
      <c r="E9" t="s">
        <v>9</v>
      </c>
      <c r="F9">
        <v>12</v>
      </c>
      <c r="G9">
        <f>SUM(Table1[[#This Row],[Number of Cases]]-Table1[[#This Row],[Critical Fail]]-Table1[[#This Row],[Major Fail]]-Table1[[#This Row],[Minor Fail]]-Table1[[#This Row],[Invalid]])</f>
        <v>11</v>
      </c>
      <c r="H9">
        <v>0</v>
      </c>
      <c r="I9">
        <v>0</v>
      </c>
      <c r="J9">
        <v>1</v>
      </c>
      <c r="K9">
        <v>0</v>
      </c>
    </row>
    <row r="10" spans="4:11" x14ac:dyDescent="0.25">
      <c r="D10">
        <v>3</v>
      </c>
      <c r="E10" t="s">
        <v>10</v>
      </c>
      <c r="F10">
        <v>32</v>
      </c>
      <c r="G10">
        <f>SUM(Table1[[#This Row],[Number of Cases]]-Table1[[#This Row],[Critical Fail]]-Table1[[#This Row],[Major Fail]]-Table1[[#This Row],[Minor Fail]]-Table1[[#This Row],[Invalid]])</f>
        <v>24</v>
      </c>
      <c r="H10">
        <v>0</v>
      </c>
      <c r="I10">
        <v>2</v>
      </c>
      <c r="J10">
        <v>5</v>
      </c>
      <c r="K10">
        <v>1</v>
      </c>
    </row>
    <row r="11" spans="4:11" x14ac:dyDescent="0.25">
      <c r="G11">
        <f>SUM(Table1[[#This Row],[Number of Cases]]-Table1[[#This Row],[Critical Fail]]-Table1[[#This Row],[Major Fail]]-Table1[[#This Row],[Minor Fail]]-Table1[[#This Row],[Invalid]])</f>
        <v>0</v>
      </c>
    </row>
    <row r="12" spans="4:11" x14ac:dyDescent="0.25">
      <c r="G12">
        <f>SUM(Table1[[#This Row],[Number of Cases]]-Table1[[#This Row],[Critical Fail]]-Table1[[#This Row],[Major Fail]]-Table1[[#This Row],[Minor Fail]]-Table1[[#This Row],[Invalid]])</f>
        <v>0</v>
      </c>
    </row>
    <row r="13" spans="4:11" x14ac:dyDescent="0.25">
      <c r="G13">
        <f>SUM(Table1[[#This Row],[Number of Cases]]-Table1[[#This Row],[Critical Fail]]-Table1[[#This Row],[Major Fail]]-Table1[[#This Row],[Minor Fail]]-Table1[[#This Row],[Invalid]])</f>
        <v>0</v>
      </c>
    </row>
    <row r="14" spans="4:11" x14ac:dyDescent="0.25">
      <c r="G14">
        <f>SUM(Table1[[#This Row],[Number of Cases]]-Table1[[#This Row],[Critical Fail]]-Table1[[#This Row],[Major Fail]]-Table1[[#This Row],[Minor Fail]]-Table1[[#This Row],[Invalid]])</f>
        <v>0</v>
      </c>
    </row>
    <row r="15" spans="4:11" x14ac:dyDescent="0.25">
      <c r="G15">
        <f>SUM(Table1[[#This Row],[Number of Cases]]-Table1[[#This Row],[Critical Fail]]-Table1[[#This Row],[Major Fail]]-Table1[[#This Row],[Minor Fail]]-Table1[[#This Row],[Invalid]])</f>
        <v>0</v>
      </c>
    </row>
    <row r="16" spans="4:11" x14ac:dyDescent="0.25">
      <c r="G16">
        <f>SUM(Table1[[#This Row],[Number of Cases]]-Table1[[#This Row],[Critical Fail]]-Table1[[#This Row],[Major Fail]]-Table1[[#This Row],[Minor Fail]]-Table1[[#This Row],[Invalid]])</f>
        <v>0</v>
      </c>
    </row>
    <row r="17" spans="5:11" x14ac:dyDescent="0.25">
      <c r="G17">
        <f>SUM(Table1[[#This Row],[Number of Cases]]-Table1[[#This Row],[Critical Fail]]-Table1[[#This Row],[Major Fail]]-Table1[[#This Row],[Minor Fail]]-Table1[[#This Row],[Invalid]])</f>
        <v>0</v>
      </c>
    </row>
    <row r="18" spans="5:11" x14ac:dyDescent="0.25">
      <c r="G18">
        <f>SUM(Table1[[#This Row],[Number of Cases]]-Table1[[#This Row],[Critical Fail]]-Table1[[#This Row],[Major Fail]]-Table1[[#This Row],[Minor Fail]]-Table1[[#This Row],[Invalid]])</f>
        <v>0</v>
      </c>
    </row>
    <row r="19" spans="5:11" x14ac:dyDescent="0.25">
      <c r="E19" s="1" t="s">
        <v>11</v>
      </c>
      <c r="F19">
        <f>SUM(F8:F18)</f>
        <v>66</v>
      </c>
      <c r="G19">
        <f>SUM(G8:G18)</f>
        <v>50</v>
      </c>
      <c r="H19">
        <f>SUM(H8:H18)</f>
        <v>1</v>
      </c>
      <c r="I19">
        <f>SUM(I8:I18)</f>
        <v>5</v>
      </c>
      <c r="J19">
        <f>SUM(J8:J18)</f>
        <v>8</v>
      </c>
      <c r="K19">
        <f>SUM(K8:K18)</f>
        <v>2</v>
      </c>
    </row>
    <row r="20" spans="5:11" x14ac:dyDescent="0.25">
      <c r="E20" s="1" t="s">
        <v>12</v>
      </c>
      <c r="F20">
        <f>SUM((((F19-K19)-(H19*5) - (I19) - (J19*0.5))/(F19-K19))*100)</f>
        <v>78.125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Murat</cp:lastModifiedBy>
  <dcterms:created xsi:type="dcterms:W3CDTF">2020-01-16T03:48:48Z</dcterms:created>
  <dcterms:modified xsi:type="dcterms:W3CDTF">2020-01-16T04:08:25Z</dcterms:modified>
</cp:coreProperties>
</file>